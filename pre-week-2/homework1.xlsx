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ty\Documents\DataAnalytics\pre-week-2\"/>
    </mc:Choice>
  </mc:AlternateContent>
  <xr:revisionPtr revIDLastSave="0" documentId="13_ncr:1_{6C14F159-F709-4477-BBEA-0FA45AC9353D}" xr6:coauthVersionLast="47" xr6:coauthVersionMax="47" xr10:uidLastSave="{00000000-0000-0000-0000-000000000000}"/>
  <bookViews>
    <workbookView xWindow="-96" yWindow="0" windowWidth="11712" windowHeight="12336" xr2:uid="{FBB7BF38-EA19-4D44-B585-EBEF107DA81E}"/>
  </bookViews>
  <sheets>
    <sheet name="home work 1" sheetId="1" r:id="rId1"/>
    <sheet name="store 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5" i="1"/>
  <c r="F4" i="1"/>
  <c r="F3" i="1"/>
  <c r="F2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<sst xmlns="http://schemas.openxmlformats.org/spreadsheetml/2006/main" count="16" uniqueCount="15">
  <si>
    <t>store</t>
  </si>
  <si>
    <t>monthly sales</t>
  </si>
  <si>
    <t>store B</t>
  </si>
  <si>
    <t>store  A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</si>
  <si>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</si>
  <si>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</si>
  <si>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</si>
  <si>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</si>
  <si>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</si>
  <si>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</si>
  <si>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</si>
  <si>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</si>
  <si>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</si>
  <si>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</si>
  <si>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The over all average sales across the stores are in the mid to high 40 it showing that the most stores perform at similar level. when store H is included, the average increases because it has much higher value than the others. this makes the data more spread out, while removing store H makes the values more tightly grouped. Most stores have similar sales so the data without store H is more consistent.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</si>
</sst>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46212-7062-4E7A-826B-21657E476BD2}">
  <dimension ref="A1:F13"/>
  <sheetViews>
    <sheetView tabSelected="1" workbookViewId="0">
      <selection activeCell="I8" sqref="I8"/>
    </sheetView>
  </sheetViews>
  <sheetFormatPr defaultRowHeight="14.4" x14ac:dyDescent="0.3"/>
  <cols>
    <col min="1" max="1" width="8.77734375" customWidth="1"/>
    <col min="2" max="2" width="8.88671875" hidden="1" customWidth="1"/>
  </cols>
  <sheetData>
    <row r="1" spans="1:6" x14ac:dyDescent="0.3">
      <c r="A1" t="s">
        <v>0</v>
      </c>
      <c r="B1" t="s">
        <v>1</v>
      </c>
      <c r="C1" t="s">
        <v>1</v>
      </c>
    </row>
    <row r="2" spans="1:6" x14ac:dyDescent="0.3">
      <c r="A2" t="s">
        <v>3</v>
      </c>
      <c r="C2">
        <v>51</v>
      </c>
      <c r="E2">
        <f>AVERAGE(C2:C13)</f>
        <v>49.416666666666664</v>
      </c>
      <c r="F2">
        <f>AVERAGE(C2:C8,C10:C13)</f>
        <v>47.363636363636367</v>
      </c>
    </row>
    <row r="3" spans="1:6" x14ac:dyDescent="0.3">
      <c r="A3" t="s">
        <v>2</v>
      </c>
      <c r="C3">
        <v>44</v>
      </c>
      <c r="E3">
        <f>MEDIAN(C2:C13)</f>
        <v>47.5</v>
      </c>
      <c r="F3">
        <f>MEDIAN(C2:C8,C10:C13)</f>
        <v>47</v>
      </c>
    </row>
    <row r="4" spans="1:6" x14ac:dyDescent="0.3">
      <c r="A4" t="s">
        <v>4</v>
      </c>
      <c r="C4">
        <v>49</v>
      </c>
      <c r="E4">
        <f>MODE(C2:C13)</f>
        <v>46</v>
      </c>
      <c r="F4">
        <f>MODE(C2:C8,C10:C13)</f>
        <v>46</v>
      </c>
    </row>
    <row r="5" spans="1:6" x14ac:dyDescent="0.3">
      <c r="A5" t="s">
        <v>5</v>
      </c>
      <c r="C5">
        <v>46</v>
      </c>
      <c r="E5">
        <f>MAX(C2:C13)-MIN(C2:C13)</f>
        <v>29</v>
      </c>
      <c r="F5">
        <f>MAX(C2:C8,C10:C13)-MIN(C2:C8,C10:C13)</f>
        <v>9</v>
      </c>
    </row>
    <row r="6" spans="1:6" x14ac:dyDescent="0.3">
      <c r="A6" t="s">
        <v>6</v>
      </c>
      <c r="C6">
        <v>52</v>
      </c>
      <c r="E6">
        <f>_xlfn.STDEV.S(C2:C13)</f>
        <v>7.6331613054586773</v>
      </c>
      <c r="F6">
        <f>_xlfn.STDEV.S(C2:C8,C10:C13)</f>
        <v>2.9076701075853588</v>
      </c>
    </row>
    <row r="7" spans="1:6" x14ac:dyDescent="0.3">
      <c r="A7" t="s">
        <v>7</v>
      </c>
      <c r="C7">
        <v>47</v>
      </c>
    </row>
    <row r="8" spans="1:6" x14ac:dyDescent="0.3">
      <c r="A8" t="s">
        <v>8</v>
      </c>
      <c r="C8">
        <v>45</v>
      </c>
    </row>
    <row r="9" spans="1:6" x14ac:dyDescent="0.3">
      <c r="A9" t="s">
        <v>9</v>
      </c>
      <c r="C9">
        <v>72</v>
      </c>
    </row>
    <row r="10" spans="1:6" x14ac:dyDescent="0.3">
      <c r="A10" t="s">
        <v>10</v>
      </c>
      <c r="C10">
        <v>43</v>
      </c>
    </row>
    <row r="11" spans="1:6" x14ac:dyDescent="0.3">
      <c r="A11" t="s">
        <v>11</v>
      </c>
      <c r="C11">
        <v>48</v>
      </c>
    </row>
    <row r="12" spans="1:6" x14ac:dyDescent="0.3">
      <c r="A12" t="s">
        <v>12</v>
      </c>
      <c r="C12">
        <v>46</v>
      </c>
    </row>
    <row r="13" spans="1:6" x14ac:dyDescent="0.3">
      <c r="A13" t="s">
        <v>13</v>
      </c>
      <c r="C1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713BE-44BB-446C-944A-53B5BDEF4368}">
  <dimension ref="A1"/>
  <sheetViews>
    <sheetView workbookViewId="0">
      <selection activeCell="A6" sqref="A6"/>
    </sheetView>
  </sheetViews>
  <sheetFormatPr defaultRowHeight="14.4" x14ac:dyDescent="0.3"/>
  <sheetData>
    <row r="1" spans="1:1" x14ac:dyDescent="0.3">
      <c r="A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home work 1</vt:lpstr>
      <vt:lpstr>store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betelehem teklemariam</dc:creator>
  <cp:lastModifiedBy>betelehem teklemariam</cp:lastModifiedBy>
  <dcterms:created xsi:type="dcterms:W3CDTF">2026-03-27T01:36:55Z</dcterms:created>
  <dcterms:modified xsi:type="dcterms:W3CDTF">2026-03-27T05:26:48Z</dcterms:modified>
</cp:coreProperties>
</file>