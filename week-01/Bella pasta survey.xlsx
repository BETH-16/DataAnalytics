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tty\Documents\DataAnalytics\week-01\"/>
    </mc:Choice>
  </mc:AlternateContent>
  <xr:revisionPtr revIDLastSave="0" documentId="8_{50E4D72C-2CF9-424D-A237-D7C287ED175B}" xr6:coauthVersionLast="47" xr6:coauthVersionMax="47" xr10:uidLastSave="{00000000-0000-0000-0000-000000000000}"/>
  <bookViews>
    <workbookView xWindow="10788" yWindow="300" windowWidth="11712" windowHeight="11664" xr2:uid="{00000000-000D-0000-FFFF-FFFF00000000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2" i="1"/>
  <c r="D3" i="1"/>
  <c r="D4" i="1"/>
  <c r="D5" i="1"/>
  <c r="D6" i="1"/>
  <c r="D7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<sst xmlns="http://schemas.openxmlformats.org/spreadsheetml/2006/main" count="73" uniqueCount="59">
  <si>
    <t>ID</t>
  </si>
  <si>
    <t>Start time</t>
  </si>
  <si>
    <t>Completion time</t>
  </si>
  <si>
    <t>Email</t>
  </si>
  <si>
    <t>Name</t>
  </si>
  <si>
    <t>Last modified time</t>
  </si>
  <si>
    <t>How satisfied are you with  overall  experience at our restaurant?</t>
  </si>
  <si>
    <t>which menu items do u enjoy the most ?</t>
  </si>
  <si>
    <t>how often  times do you come visit our restaurant ?</t>
  </si>
  <si>
    <t>how satisfied are you with our service?</t>
  </si>
  <si>
    <t>Rate your recent Visit Satisfaction On a scale of 1–5?</t>
  </si>
  <si>
    <t>Would you be interested in a loyalty program offering rewards for frequent visits?</t>
  </si>
  <si>
    <t>Do u have any suggestion for how we can improve your experience?</t>
  </si>
  <si>
    <t>BHambleton@YearUp.org</t>
  </si>
  <si>
    <t>Bess Hambleton</t>
  </si>
  <si>
    <t>Quite satisfied!</t>
  </si>
  <si>
    <t>Eggplant parmigiana, chicken vesuvio</t>
  </si>
  <si>
    <t>Maybe 1 or 2 times a month</t>
  </si>
  <si>
    <t>10!</t>
  </si>
  <si>
    <t>5</t>
  </si>
  <si>
    <t>Maybe</t>
  </si>
  <si>
    <t xml:space="preserve">More cushy seats </t>
  </si>
  <si>
    <t>tzergaw@my.yearupunited.org</t>
  </si>
  <si>
    <t>tihitina zergaw</t>
  </si>
  <si>
    <t xml:space="preserve">Somewhat satisfied </t>
  </si>
  <si>
    <t xml:space="preserve">Carbonara Spaghetti </t>
  </si>
  <si>
    <t>Usually, once a week</t>
  </si>
  <si>
    <t>4</t>
  </si>
  <si>
    <t>Yes</t>
  </si>
  <si>
    <t xml:space="preserve">Better customer service </t>
  </si>
  <si>
    <t>cpalacios@my.yearupunited.org</t>
  </si>
  <si>
    <t>charles palacios</t>
  </si>
  <si>
    <t>I had an amazing experience!</t>
  </si>
  <si>
    <t>I loved the Chicken Alfredo</t>
  </si>
  <si>
    <t>Every other week</t>
  </si>
  <si>
    <t>Very Satisfied</t>
  </si>
  <si>
    <t>Not at the moment!</t>
  </si>
  <si>
    <t>dmulugeta@my.yearupunited.org</t>
  </si>
  <si>
    <t>dagmawi mulugeta</t>
  </si>
  <si>
    <t xml:space="preserve">Very satisfied </t>
  </si>
  <si>
    <t xml:space="preserve">The pasta </t>
  </si>
  <si>
    <t>2 times a week</t>
  </si>
  <si>
    <t xml:space="preserve"> Erg satisfied </t>
  </si>
  <si>
    <t xml:space="preserve">More customer service </t>
  </si>
  <si>
    <t>hmerawi@my.yearupunited.org</t>
  </si>
  <si>
    <t>hana merawi</t>
  </si>
  <si>
    <t>very satisfied</t>
  </si>
  <si>
    <t>bella combo</t>
  </si>
  <si>
    <t>weekly</t>
  </si>
  <si>
    <t xml:space="preserve">very Satisfied </t>
  </si>
  <si>
    <t>no</t>
  </si>
  <si>
    <t xml:space="preserve">I had the best experience ever! </t>
  </si>
  <si>
    <t>I enjoyed the Chicken Alfredo</t>
  </si>
  <si>
    <t>2 times a week for dinner</t>
  </si>
  <si>
    <t xml:space="preserve">Nothing at the moment! </t>
  </si>
  <si>
    <t>Time to complete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</si>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</sst>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:ss"/>
    <numFmt numFmtId="166" formatCode="m/d/yy\ h:mm;@"/>
    <numFmt numFmtId="167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quotePrefix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[Bella pasta survey.xlsx]Sheet2!PivotTable1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Sheet2!$A$2:$A$4</c:f>
              <c:strCache>
                <c:ptCount val="2"/>
                <c:pt idx="0">
                  <c:v>4</c:v>
                </c:pt>
                <c:pt idx="1">
                  <c:v>5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2-45DB-A649-259ED896F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FDF9A-0303-893F-DA17-2410EEA2B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telehem Gebremedhin" refreshedDate="46122.782082060185" createdVersion="8" refreshedVersion="8" minRefreshableVersion="3" recordCount="6" xr:uid="{E08C8BE1-B6B6-4B42-B8ED-17ACC3D5B974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6"/>
    </cacheField>
    <cacheField name="Start time" numFmtId="22">
      <sharedItems containsSemiMixedTypes="0" containsNonDate="0" containsDate="1" containsString="0" minDate="2026-04-08T14:16:25" maxDate="2026-04-13T14:16:25"/>
    </cacheField>
    <cacheField name="Completion time" numFmtId="22">
      <sharedItems containsSemiMixedTypes="0" containsNonDate="0" containsDate="1" containsString="0" minDate="2026-04-08T14:17:52" maxDate="2026-04-13T14:17:52"/>
    </cacheField>
    <cacheField name="Time to complete" numFmtId="45">
      <sharedItems containsSemiMixedTypes="0" containsNonDate="0" containsDate="1" containsString="0" minDate="1899-12-30T00:01:27" maxDate="1899-12-30T00:01:27"/>
    </cacheField>
    <cacheField name="Email" numFmtId="0">
      <sharedItems count="5">
        <s v="BHambleton@YearUp.org"/>
        <s v="tzergaw@my.yearupunited.org"/>
        <s v="cpalacios@my.yearupunited.org"/>
        <s v="dmulugeta@my.yearupunited.org"/>
        <s v="hmerawi@my.yearupunited.org"/>
      </sharedItems>
    </cacheField>
    <cacheField name="Name" numFmtId="0">
      <sharedItems count="5">
        <s v="Bess Hambleton"/>
        <s v="tihitina zergaw"/>
        <s v="charles palacios"/>
        <s v="dagmawi mulugeta"/>
        <s v="hana merawi"/>
      </sharedItems>
    </cacheField>
    <cacheField name="Last modified time" numFmtId="164">
      <sharedItems containsNonDate="0" containsString="0" containsBlank="1"/>
    </cacheField>
    <cacheField name="How satisfied are you with  overall  experience at our restaurant?" numFmtId="0">
      <sharedItems/>
    </cacheField>
    <cacheField name="which menu items do u enjoy the most ?" numFmtId="0">
      <sharedItems/>
    </cacheField>
    <cacheField name="how often  times do you come visit our restaurant ?" numFmtId="0">
      <sharedItems/>
    </cacheField>
    <cacheField name="how satisfied are you with our service?" numFmtId="0">
      <sharedItems/>
    </cacheField>
    <cacheField name="Rate your recent Visit Satisfaction On a scale of 1–5?" numFmtId="0">
      <sharedItems count="2">
        <s v="5"/>
        <s v="4"/>
      </sharedItems>
    </cacheField>
    <cacheField name="Would you be interested in a loyalty program offering rewards for frequent visits?" numFmtId="0">
      <sharedItems/>
    </cacheField>
    <cacheField name="Do u have any suggestion for how we can improve your experienc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04-08T14:16:25"/>
    <d v="2026-04-08T14:17:52"/>
    <d v="1899-12-30T00:01:27"/>
    <x v="0"/>
    <x v="0"/>
    <m/>
    <s v="Quite satisfied!"/>
    <s v="Eggplant parmigiana, chicken vesuvio"/>
    <s v="Maybe 1 or 2 times a month"/>
    <s v="10!"/>
    <x v="0"/>
    <s v="Maybe"/>
    <s v="More cushy seats "/>
  </r>
  <r>
    <n v="2"/>
    <d v="2026-04-09T14:16:25"/>
    <d v="2026-04-09T14:17:52"/>
    <d v="1899-12-30T00:01:27"/>
    <x v="1"/>
    <x v="1"/>
    <m/>
    <s v="Somewhat satisfied "/>
    <s v="Carbonara Spaghetti "/>
    <s v="Usually, once a week"/>
    <s v="Somewhat satisfied "/>
    <x v="1"/>
    <s v="Yes"/>
    <s v="Better customer service "/>
  </r>
  <r>
    <n v="3"/>
    <d v="2026-04-10T14:16:25"/>
    <d v="2026-04-10T14:17:52"/>
    <d v="1899-12-30T00:01:27"/>
    <x v="2"/>
    <x v="2"/>
    <m/>
    <s v="I had an amazing experience!"/>
    <s v="I loved the Chicken Alfredo"/>
    <s v="Every other week"/>
    <s v="Very Satisfied"/>
    <x v="0"/>
    <s v="Yes"/>
    <s v="Not at the moment!"/>
  </r>
  <r>
    <n v="4"/>
    <d v="2026-04-11T14:16:25"/>
    <d v="2026-04-11T14:17:52"/>
    <d v="1899-12-30T00:01:27"/>
    <x v="3"/>
    <x v="3"/>
    <m/>
    <s v="Very satisfied "/>
    <s v="The pasta "/>
    <s v="2 times a week"/>
    <s v=" Erg satisfied "/>
    <x v="0"/>
    <s v="Yes"/>
    <s v="More customer service "/>
  </r>
  <r>
    <n v="5"/>
    <d v="2026-04-12T14:16:25"/>
    <d v="2026-04-12T14:17:52"/>
    <d v="1899-12-30T00:01:27"/>
    <x v="4"/>
    <x v="4"/>
    <m/>
    <s v="very satisfied"/>
    <s v="bella combo"/>
    <s v="weekly"/>
    <s v="very Satisfied "/>
    <x v="0"/>
    <s v="Yes"/>
    <s v="no"/>
  </r>
  <r>
    <n v="6"/>
    <d v="2026-04-13T14:16:25"/>
    <d v="2026-04-13T14:17:52"/>
    <d v="1899-12-30T00:01:27"/>
    <x v="2"/>
    <x v="2"/>
    <m/>
    <s v="I had the best experience ever! "/>
    <s v="I enjoyed the Chicken Alfredo"/>
    <s v="2 times a week for dinner"/>
    <s v="Very Satisfied"/>
    <x v="0"/>
    <s v="Yes"/>
    <s v="Nothing at the moment!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75CE4-4859-4D87-84E3-CC64EFFC4B7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4" firstHeaderRow="1" firstDataRow="1" firstDataCol="1"/>
  <pivotFields count="14">
    <pivotField showAll="0"/>
    <pivotField numFmtId="22" showAll="0"/>
    <pivotField numFmtId="22" showAll="0"/>
    <pivotField numFmtId="45" showAll="0"/>
    <pivotField showAll="0">
      <items count="6">
        <item x="0"/>
        <item x="2"/>
        <item x="3"/>
        <item x="4"/>
        <item x="1"/>
        <item t="default"/>
      </items>
    </pivotField>
    <pivotField dataField="1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8" totalsRowCount="1">
  <autoFilter ref="A1:N7" xr:uid="{00000000-0009-0000-0100-000001000000}"/>
  <tableColumns count="14">
    <tableColumn id="1" xr3:uid="{00000000-0010-0000-0000-000001000000}" name="ID" dataDxfId="27" totalsRowDxfId="13"/>
    <tableColumn id="2" xr3:uid="{00000000-0010-0000-0000-000002000000}" name="Start time" dataDxfId="26" totalsRowDxfId="12"/>
    <tableColumn id="3" xr3:uid="{00000000-0010-0000-0000-000003000000}" name="Completion time" dataDxfId="25" totalsRowDxfId="11"/>
    <tableColumn id="14" xr3:uid="{E169039B-8089-4409-9239-D2D8B7D10DD3}" name="Time to complete" totalsRowFunction="custom" dataDxfId="24" totalsRowDxfId="10">
      <calculatedColumnFormula>C2-B2</calculatedColumnFormula>
      <totalsRowFormula>AVERAGE(D2:D7)</totalsRowFormula>
    </tableColumn>
    <tableColumn id="4" xr3:uid="{00000000-0010-0000-0000-000004000000}" name="Email" dataDxfId="23" totalsRowDxfId="9"/>
    <tableColumn id="5" xr3:uid="{00000000-0010-0000-0000-000005000000}" name="Name" dataDxfId="22" totalsRowDxfId="8"/>
    <tableColumn id="6" xr3:uid="{00000000-0010-0000-0000-000006000000}" name="Last modified time" dataDxfId="21" totalsRowDxfId="7"/>
    <tableColumn id="7" xr3:uid="{00000000-0010-0000-0000-000007000000}" name="How satisfied are you with  overall  experience at our restaurant?" dataDxfId="20" totalsRowDxfId="6"/>
    <tableColumn id="8" xr3:uid="{00000000-0010-0000-0000-000008000000}" name="which menu items do u enjoy the most ?" dataDxfId="19" totalsRowDxfId="5"/>
    <tableColumn id="9" xr3:uid="{00000000-0010-0000-0000-000009000000}" name="how often  times do you come visit our restaurant ?" dataDxfId="18" totalsRowDxfId="4"/>
    <tableColumn id="10" xr3:uid="{00000000-0010-0000-0000-00000A000000}" name="how satisfied are you with our service?" dataDxfId="17" totalsRowDxfId="3"/>
    <tableColumn id="11" xr3:uid="{00000000-0010-0000-0000-00000B000000}" name="Rate your recent Visit Satisfaction On a scale of 1–5?" dataDxfId="16" totalsRowDxfId="2"/>
    <tableColumn id="12" xr3:uid="{00000000-0010-0000-0000-00000C000000}" name="Would you be interested in a loyalty program offering rewards for frequent visits?" dataDxfId="15" totalsRowDxfId="1"/>
    <tableColumn id="13" xr3:uid="{00000000-0010-0000-0000-00000D000000}" name="Do u have any suggestion for how we can improve your experience?" dataDxfId="1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D303-1902-4C73-8EFB-745597E2D6DA}">
  <dimension ref="A1:B4"/>
  <sheetViews>
    <sheetView tabSelected="1" workbookViewId="0">
      <selection activeCell="C19" sqref="C19"/>
    </sheetView>
  </sheetViews>
  <sheetFormatPr defaultRowHeight="14.4" x14ac:dyDescent="0.3"/>
  <cols>
    <col min="1" max="1" width="12.5546875" bestFit="1" customWidth="1"/>
    <col min="2" max="2" width="13.88671875" bestFit="1" customWidth="1"/>
  </cols>
  <sheetData>
    <row r="1" spans="1:2" x14ac:dyDescent="0.3">
      <c r="A1" s="8" t="s">
        <v>56</v>
      </c>
      <c r="B1" t="s">
        <v>58</v>
      </c>
    </row>
    <row r="2" spans="1:2" x14ac:dyDescent="0.3">
      <c r="A2" s="9" t="s">
        <v>27</v>
      </c>
      <c r="B2" s="7">
        <v>1</v>
      </c>
    </row>
    <row r="3" spans="1:2" x14ac:dyDescent="0.3">
      <c r="A3" s="9" t="s">
        <v>19</v>
      </c>
      <c r="B3" s="7">
        <v>5</v>
      </c>
    </row>
    <row r="4" spans="1:2" x14ac:dyDescent="0.3">
      <c r="A4" s="9" t="s">
        <v>57</v>
      </c>
      <c r="B4" s="7">
        <v>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selection activeCell="K3" sqref="K3"/>
    </sheetView>
  </sheetViews>
  <sheetFormatPr defaultRowHeight="14.4" x14ac:dyDescent="0.3"/>
  <cols>
    <col min="1" max="3" width="20" bestFit="1" customWidth="1"/>
    <col min="4" max="4" width="20" style="5" customWidth="1"/>
    <col min="5" max="14" width="20" bestFit="1" customWidth="1"/>
  </cols>
  <sheetData>
    <row r="1" spans="1:14" x14ac:dyDescent="0.3">
      <c r="A1" t="s">
        <v>0</v>
      </c>
      <c r="B1" s="4" t="s">
        <v>1</v>
      </c>
      <c r="C1" s="3" t="s">
        <v>2</v>
      </c>
      <c r="D1" s="5" t="s">
        <v>55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s="6">
        <v>46120.594733796301</v>
      </c>
      <c r="C2" s="6">
        <v>46120.595740740697</v>
      </c>
      <c r="D2" s="5">
        <f t="shared" ref="D2:D7" si="0">C2-B2</f>
        <v>1.0069443960674107E-3</v>
      </c>
      <c r="E2" t="s">
        <v>13</v>
      </c>
      <c r="F2" t="s">
        <v>14</v>
      </c>
      <c r="G2" s="1"/>
      <c r="H2" t="s">
        <v>15</v>
      </c>
      <c r="I2" t="s">
        <v>16</v>
      </c>
      <c r="J2" t="s">
        <v>17</v>
      </c>
      <c r="K2" t="s">
        <v>18</v>
      </c>
      <c r="L2" s="2" t="s">
        <v>19</v>
      </c>
      <c r="M2" t="s">
        <v>20</v>
      </c>
      <c r="N2" t="s">
        <v>21</v>
      </c>
    </row>
    <row r="3" spans="1:14" x14ac:dyDescent="0.3">
      <c r="A3">
        <v>2</v>
      </c>
      <c r="B3" s="6">
        <v>46121.594733796293</v>
      </c>
      <c r="C3" s="6">
        <v>46121.595740682867</v>
      </c>
      <c r="D3" s="5">
        <f t="shared" si="0"/>
        <v>1.0068865740322508E-3</v>
      </c>
      <c r="E3" t="s">
        <v>22</v>
      </c>
      <c r="F3" t="s">
        <v>23</v>
      </c>
      <c r="G3" s="1"/>
      <c r="H3" t="s">
        <v>24</v>
      </c>
      <c r="I3" t="s">
        <v>25</v>
      </c>
      <c r="J3" t="s">
        <v>26</v>
      </c>
      <c r="K3" t="s">
        <v>24</v>
      </c>
      <c r="L3" s="2" t="s">
        <v>27</v>
      </c>
      <c r="M3" t="s">
        <v>28</v>
      </c>
      <c r="N3" t="s">
        <v>29</v>
      </c>
    </row>
    <row r="4" spans="1:14" x14ac:dyDescent="0.3">
      <c r="A4">
        <v>3</v>
      </c>
      <c r="B4" s="6">
        <v>46122.594733796293</v>
      </c>
      <c r="C4" s="6">
        <v>46122.595740682867</v>
      </c>
      <c r="D4" s="5">
        <f t="shared" si="0"/>
        <v>1.0068865740322508E-3</v>
      </c>
      <c r="E4" t="s">
        <v>30</v>
      </c>
      <c r="F4" t="s">
        <v>31</v>
      </c>
      <c r="G4" s="1"/>
      <c r="H4" t="s">
        <v>32</v>
      </c>
      <c r="I4" t="s">
        <v>33</v>
      </c>
      <c r="J4" t="s">
        <v>34</v>
      </c>
      <c r="K4" t="s">
        <v>35</v>
      </c>
      <c r="L4" s="2" t="s">
        <v>19</v>
      </c>
      <c r="M4" t="s">
        <v>28</v>
      </c>
      <c r="N4" t="s">
        <v>36</v>
      </c>
    </row>
    <row r="5" spans="1:14" x14ac:dyDescent="0.3">
      <c r="A5">
        <v>4</v>
      </c>
      <c r="B5" s="6">
        <v>46123.594733796293</v>
      </c>
      <c r="C5" s="6">
        <v>46123.595740682867</v>
      </c>
      <c r="D5" s="5">
        <f t="shared" si="0"/>
        <v>1.0068865740322508E-3</v>
      </c>
      <c r="E5" t="s">
        <v>37</v>
      </c>
      <c r="F5" t="s">
        <v>38</v>
      </c>
      <c r="G5" s="1"/>
      <c r="H5" t="s">
        <v>39</v>
      </c>
      <c r="I5" t="s">
        <v>40</v>
      </c>
      <c r="J5" t="s">
        <v>41</v>
      </c>
      <c r="K5" t="s">
        <v>42</v>
      </c>
      <c r="L5" s="2" t="s">
        <v>19</v>
      </c>
      <c r="M5" t="s">
        <v>28</v>
      </c>
      <c r="N5" t="s">
        <v>43</v>
      </c>
    </row>
    <row r="6" spans="1:14" x14ac:dyDescent="0.3">
      <c r="A6">
        <v>5</v>
      </c>
      <c r="B6" s="6">
        <v>46124.594733796293</v>
      </c>
      <c r="C6" s="6">
        <v>46124.595740682867</v>
      </c>
      <c r="D6" s="5">
        <f t="shared" si="0"/>
        <v>1.0068865740322508E-3</v>
      </c>
      <c r="E6" t="s">
        <v>44</v>
      </c>
      <c r="F6" t="s">
        <v>45</v>
      </c>
      <c r="G6" s="1"/>
      <c r="H6" t="s">
        <v>46</v>
      </c>
      <c r="I6" t="s">
        <v>47</v>
      </c>
      <c r="J6" t="s">
        <v>48</v>
      </c>
      <c r="K6" t="s">
        <v>49</v>
      </c>
      <c r="L6" s="2" t="s">
        <v>19</v>
      </c>
      <c r="M6" t="s">
        <v>28</v>
      </c>
      <c r="N6" t="s">
        <v>50</v>
      </c>
    </row>
    <row r="7" spans="1:14" x14ac:dyDescent="0.3">
      <c r="A7">
        <v>6</v>
      </c>
      <c r="B7" s="6">
        <v>46125.594733796293</v>
      </c>
      <c r="C7" s="6">
        <v>46125.595740682867</v>
      </c>
      <c r="D7" s="5">
        <f t="shared" si="0"/>
        <v>1.0068865740322508E-3</v>
      </c>
      <c r="E7" t="s">
        <v>30</v>
      </c>
      <c r="F7" t="s">
        <v>31</v>
      </c>
      <c r="G7" s="1"/>
      <c r="H7" t="s">
        <v>51</v>
      </c>
      <c r="I7" t="s">
        <v>52</v>
      </c>
      <c r="J7" t="s">
        <v>53</v>
      </c>
      <c r="K7" t="s">
        <v>35</v>
      </c>
      <c r="L7" s="2" t="s">
        <v>19</v>
      </c>
      <c r="M7" t="s">
        <v>28</v>
      </c>
      <c r="N7" t="s">
        <v>54</v>
      </c>
    </row>
    <row r="8" spans="1:14" x14ac:dyDescent="0.3">
      <c r="A8" s="7"/>
      <c r="B8" s="1"/>
      <c r="C8" s="1"/>
      <c r="D8" s="5">
        <f>AVERAGE(D2:D7)</f>
        <v>1.0068962110381108E-3</v>
      </c>
      <c r="E8" s="7"/>
      <c r="F8" s="7"/>
      <c r="G8" s="1"/>
      <c r="H8" s="7"/>
      <c r="I8" s="7"/>
      <c r="J8" s="7"/>
      <c r="K8" s="7"/>
      <c r="L8" s="7"/>
      <c r="M8" s="7"/>
      <c r="N8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Betelehem Gebremedhin</dc:creator>
  <cp:lastModifiedBy>betelehem teklemariam</cp:lastModifiedBy>
  <dcterms:created xsi:type="dcterms:W3CDTF">2026-04-10T22:08:14Z</dcterms:created>
  <dcterms:modified xsi:type="dcterms:W3CDTF">2026-04-10T22:52:13Z</dcterms:modified>
</cp:coreProperties>
</file>