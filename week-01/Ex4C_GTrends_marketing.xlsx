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ty\Documents\DataAnalytics\week-01\"/>
    </mc:Choice>
  </mc:AlternateContent>
  <xr:revisionPtr revIDLastSave="0" documentId="13_ncr:1_{7076D4F9-B605-4D74-B369-407270BCB43C}" xr6:coauthVersionLast="47" xr6:coauthVersionMax="47" xr10:uidLastSave="{00000000-0000-0000-0000-000000000000}"/>
  <bookViews>
    <workbookView xWindow="10872" yWindow="0" windowWidth="12264" windowHeight="12336" firstSheet="1" activeTab="1" xr2:uid="{E7EAF6F7-9A95-486A-B5DF-CFB4C719D892}"/>
  </bookViews>
  <sheets>
    <sheet name="by search term" sheetId="1" r:id="rId1"/>
    <sheet name="sales region lookup" sheetId="3" r:id="rId2"/>
    <sheet name="by state" sheetId="2" r:id="rId3"/>
  </sheets>
  <externalReferences>
    <externalReference r:id="rId4"/>
  </externalReferences>
  <definedNames>
    <definedName name="_xlnm._FilterDatabase" localSheetId="0" hidden="1">'by search term'!$B$1:$E$52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8" i="3"/>
  <c r="D9" i="3"/>
  <c r="D10" i="3"/>
  <c r="D11" i="3"/>
  <c r="D2" i="3"/>
  <c r="C5" i="3"/>
  <c r="C3" i="3"/>
  <c r="C4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<sst xmlns="http://schemas.openxmlformats.org/spreadsheetml/2006/main" count="153" uniqueCount="72">
  <si>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</si>
  <si>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</si>
  <si>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</si>
  <si>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</si>
  <si>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</si>
  <si>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</si>
  <si>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</si>
  <si>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</si>
  <si>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</si>
  <si>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</si>
  <si>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</si>
  <si>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</si>
  <si>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</si>
  <si>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</si>
  <si>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</si>
  <si>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</si>
  <si>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</si>
  <si>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</si>
  <si>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</si>
  <si>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</si>
  <si>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</si>
  <si>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</si>
  <si>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</si>
  <si>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</si>
  <si>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</si>
  <si>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</si>
  <si>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</si>
  <si>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</si>
  <si>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</si>
  <si>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</si>
  <si>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</si>
  <si>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</si>
  <si>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</si>
  <si>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</si>
  <si>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</si>
  <si>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</si>
  <si>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</si>
  <si>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</si>
  <si>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</si>
  <si>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</si>
  <si>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</si>
  <si>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</si>
  <si>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</si>
  <si>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</si>
  <si>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</si>
  <si>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</si>
  <si>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</si>
  <si>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</si>
  <si>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</si>
  <si>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</si>
  <si>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</si>
  <si>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 xml:space="preserve"># of regions </t>
  </si>
  <si>
    <t xml:space="preserve"> Region</t>
  </si>
  <si>
    <t>Region ID</t>
  </si>
  <si>
    <t>date range</t>
  </si>
  <si>
    <t>Hamburger:</t>
  </si>
  <si>
    <t>Milkshake:</t>
  </si>
  <si>
    <t>Breakup:</t>
  </si>
  <si>
    <t>oregon</t>
  </si>
  <si>
    <t>NorthDakota</t>
  </si>
  <si>
    <t>SouthDakota</t>
  </si>
  <si>
    <t>State</t>
  </si>
  <si>
    <t>saleas Region</t>
  </si>
  <si>
    <t>Northwest</t>
  </si>
  <si>
    <t>North Central</t>
  </si>
  <si>
    <t>Hamburger</t>
  </si>
  <si>
    <t>Milkshake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</si>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</sst>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NorthDakota</c:v>
                </c:pt>
                <c:pt idx="6">
                  <c:v>oregon</c:v>
                </c:pt>
                <c:pt idx="7">
                  <c:v>SouthDakota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0.69</c:v>
                </c:pt>
                <c:pt idx="2">
                  <c:v>0.66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0.68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C-4365-8560-44610D1CB916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NorthDakota</c:v>
                </c:pt>
                <c:pt idx="6">
                  <c:v>oregon</c:v>
                </c:pt>
                <c:pt idx="7">
                  <c:v>SouthDakota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0.19</c:v>
                </c:pt>
                <c:pt idx="2">
                  <c:v>0.2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CC-4365-8560-44610D1CB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0009551"/>
        <c:axId val="1570003791"/>
      </c:barChart>
      <c:catAx>
        <c:axId val="157000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03791"/>
        <c:crosses val="autoZero"/>
        <c:auto val="1"/>
        <c:lblAlgn val="ctr"/>
        <c:lblOffset val="100"/>
        <c:noMultiLvlLbl val="0"/>
      </c:catAx>
      <c:valAx>
        <c:axId val="157000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0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480060</xdr:colOff>
      <xdr:row>10</xdr:row>
      <xdr:rowOff>156210</xdr:rowOff>
    </xdr:from>
    <xdr:to>
      <xdr:col>15</xdr:col>
      <xdr:colOff>175260</xdr:colOff>
      <xdr:row>25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F20436-5666-A5A2-0C6D-C20C105BD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y%20search%20term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search term"/>
      <sheetName val="by state"/>
      <sheetName val="GTrends_milkshake_hamburger_202"/>
    </sheetNames>
    <sheetDataSet>
      <sheetData sheetId="0">
        <row r="5">
          <cell r="B5" t="str">
            <v>Arkansas</v>
          </cell>
        </row>
        <row r="6">
          <cell r="B6" t="str">
            <v>California</v>
          </cell>
        </row>
        <row r="7">
          <cell r="B7" t="str">
            <v>Colorado</v>
          </cell>
        </row>
        <row r="8">
          <cell r="B8" t="str">
            <v>Connecticut</v>
          </cell>
        </row>
        <row r="9">
          <cell r="B9" t="str">
            <v>Delaware</v>
          </cell>
        </row>
        <row r="10">
          <cell r="B10" t="str">
            <v>District of Columbia</v>
          </cell>
        </row>
        <row r="11">
          <cell r="B11" t="str">
            <v>Florida</v>
          </cell>
        </row>
        <row r="12">
          <cell r="B12" t="str">
            <v>Georgia</v>
          </cell>
        </row>
        <row r="13">
          <cell r="B13" t="str">
            <v>Hawaii</v>
          </cell>
        </row>
        <row r="14">
          <cell r="B14" t="str">
            <v>Idaho</v>
          </cell>
        </row>
        <row r="15">
          <cell r="B15" t="str">
            <v>Illinois</v>
          </cell>
        </row>
        <row r="16">
          <cell r="B16" t="str">
            <v>Indiana</v>
          </cell>
        </row>
        <row r="17">
          <cell r="B17" t="str">
            <v>Iowa</v>
          </cell>
        </row>
        <row r="18">
          <cell r="B18" t="str">
            <v>Kansas</v>
          </cell>
        </row>
        <row r="19">
          <cell r="B19" t="str">
            <v>Kentucky</v>
          </cell>
        </row>
        <row r="20">
          <cell r="B20" t="str">
            <v>Louisiana</v>
          </cell>
        </row>
        <row r="21">
          <cell r="B21" t="str">
            <v>Maine</v>
          </cell>
        </row>
        <row r="22">
          <cell r="B22" t="str">
            <v>Maryland</v>
          </cell>
        </row>
        <row r="23">
          <cell r="B23" t="str">
            <v>Massachusetts</v>
          </cell>
        </row>
        <row r="24">
          <cell r="B24" t="str">
            <v>Michigan</v>
          </cell>
        </row>
        <row r="25">
          <cell r="B25" t="str">
            <v>Minnesota</v>
          </cell>
        </row>
        <row r="26">
          <cell r="B26" t="str">
            <v>Mississippi</v>
          </cell>
        </row>
        <row r="27">
          <cell r="B27" t="str">
            <v>Missouri</v>
          </cell>
        </row>
        <row r="28">
          <cell r="B28" t="str">
            <v>Montana</v>
          </cell>
        </row>
        <row r="29">
          <cell r="B29" t="str">
            <v>Nebraska</v>
          </cell>
        </row>
        <row r="30">
          <cell r="B30" t="str">
            <v>Nevada</v>
          </cell>
        </row>
        <row r="31">
          <cell r="B31" t="str">
            <v>New Hampshire</v>
          </cell>
        </row>
        <row r="32">
          <cell r="B32" t="str">
            <v>New Jersey</v>
          </cell>
        </row>
        <row r="33">
          <cell r="B33" t="str">
            <v>New Mexico</v>
          </cell>
        </row>
        <row r="34">
          <cell r="B34" t="str">
            <v>New York</v>
          </cell>
        </row>
        <row r="35">
          <cell r="B35" t="str">
            <v>North Carolina</v>
          </cell>
        </row>
        <row r="36">
          <cell r="B36" t="str">
            <v>North Dakota</v>
          </cell>
        </row>
        <row r="37">
          <cell r="B37" t="str">
            <v>Ohio</v>
          </cell>
        </row>
        <row r="38">
          <cell r="B38" t="str">
            <v>Oklahoma</v>
          </cell>
        </row>
        <row r="39">
          <cell r="B39" t="str">
            <v>Oregon</v>
          </cell>
        </row>
        <row r="40">
          <cell r="B40" t="str">
            <v>Pennsylvania</v>
          </cell>
        </row>
        <row r="41">
          <cell r="B41" t="str">
            <v>Rhode Island</v>
          </cell>
        </row>
        <row r="42">
          <cell r="B42" t="str">
            <v>South Carolina</v>
          </cell>
        </row>
        <row r="43">
          <cell r="B43" t="str">
            <v>South Dakota</v>
          </cell>
        </row>
        <row r="44">
          <cell r="B44" t="str">
            <v>Tennessee</v>
          </cell>
        </row>
        <row r="45">
          <cell r="B45" t="str">
            <v>Texas</v>
          </cell>
        </row>
        <row r="46">
          <cell r="B46" t="str">
            <v>Utah</v>
          </cell>
        </row>
        <row r="47">
          <cell r="B47" t="str">
            <v>Vermont</v>
          </cell>
        </row>
        <row r="48">
          <cell r="B48" t="str">
            <v>Virginia</v>
          </cell>
        </row>
        <row r="49">
          <cell r="B49" t="str">
            <v>Washington</v>
          </cell>
        </row>
        <row r="50">
          <cell r="B50" t="str">
            <v>West Virginia</v>
          </cell>
        </row>
        <row r="51">
          <cell r="B51" t="str">
            <v>Wisconsin</v>
          </cell>
        </row>
        <row r="52">
          <cell r="B52" t="str">
            <v>Wyoming</v>
          </cell>
        </row>
      </sheetData>
      <sheetData sheetId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telehem Gebremedhin" refreshedDate="46122.747680671295" createdVersion="8" refreshedVersion="8" minRefreshableVersion="3" recordCount="10" xr:uid="{FDB35D7D-0797-4D51-A1C2-DF1353B64495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Dakota"/>
        <s v="SouthDakota"/>
        <s v="Nebraska"/>
        <s v="Minnesota"/>
        <s v="Wisconsin"/>
        <s v="Michigan"/>
      </sharedItems>
    </cacheField>
    <cacheField name="salea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8"/>
    <n v="0.18"/>
  </r>
  <r>
    <x v="2"/>
    <x v="0"/>
    <n v="0.67"/>
    <n v="0.19"/>
  </r>
  <r>
    <x v="3"/>
    <x v="0"/>
    <n v="0.75"/>
    <n v="0.14000000000000001"/>
  </r>
  <r>
    <x v="4"/>
    <x v="1"/>
    <n v="0.69"/>
    <n v="0.19"/>
  </r>
  <r>
    <x v="5"/>
    <x v="1"/>
    <n v="0.75"/>
    <n v="0.14000000000000001"/>
  </r>
  <r>
    <x v="6"/>
    <x v="1"/>
    <n v="0.69"/>
    <n v="0.18"/>
  </r>
  <r>
    <x v="7"/>
    <x v="1"/>
    <n v="0.66"/>
    <n v="0.2"/>
  </r>
  <r>
    <x v="8"/>
    <x v="1"/>
    <n v="0.66"/>
    <n v="0.2"/>
  </r>
  <r>
    <x v="9"/>
    <x v="1"/>
    <n v="0.69"/>
    <n v="0.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08EA0-3628-4F3A-88B1-ECB10035659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A628A-7019-4BA4-A9A9-CE381428A57C}">
  <dimension ref="A1:K52"/>
  <sheetViews>
    <sheetView workbookViewId="0">
      <pane ySplit="1" topLeftCell="A36" activePane="bottomLeft" state="frozen"/>
      <selection pane="bottomLeft" activeCell="D44" sqref="D44"/>
    </sheetView>
  </sheetViews>
  <sheetFormatPr defaultRowHeight="14.4" x14ac:dyDescent="0.3"/>
  <cols>
    <col min="2" max="2" width="19.6640625" customWidth="1"/>
    <col min="3" max="3" width="11.77734375" customWidth="1"/>
    <col min="4" max="4" width="11" customWidth="1"/>
    <col min="5" max="5" width="9.6640625" customWidth="1"/>
    <col min="7" max="7" width="11.5546875" customWidth="1"/>
    <col min="10" max="10" width="10.21875" customWidth="1"/>
    <col min="11" max="11" width="17.33203125" customWidth="1"/>
  </cols>
  <sheetData>
    <row r="1" spans="1:11" x14ac:dyDescent="0.3">
      <c r="A1" t="s">
        <v>53</v>
      </c>
      <c r="B1" t="s">
        <v>52</v>
      </c>
      <c r="C1" t="s">
        <v>55</v>
      </c>
      <c r="D1" t="s">
        <v>56</v>
      </c>
      <c r="E1" t="s">
        <v>57</v>
      </c>
      <c r="G1" s="2" t="s">
        <v>51</v>
      </c>
      <c r="H1" s="2">
        <f>COUNTA(B2:B52)</f>
        <v>51</v>
      </c>
      <c r="J1" s="3" t="s">
        <v>54</v>
      </c>
      <c r="K1" s="3"/>
    </row>
    <row r="2" spans="1:11" x14ac:dyDescent="0.3">
      <c r="A2">
        <v>1</v>
      </c>
      <c r="B2" t="s">
        <v>4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26</v>
      </c>
      <c r="C4" s="1">
        <v>0.69</v>
      </c>
      <c r="D4" s="1">
        <v>0.19</v>
      </c>
      <c r="E4" s="1">
        <v>0.12</v>
      </c>
    </row>
    <row r="5" spans="1:11" x14ac:dyDescent="0.3">
      <c r="A5">
        <v>4</v>
      </c>
      <c r="B5" t="s">
        <v>9</v>
      </c>
      <c r="C5" s="1">
        <v>0.64</v>
      </c>
      <c r="D5" s="1">
        <v>0.23</v>
      </c>
      <c r="E5" s="1">
        <v>0.13</v>
      </c>
    </row>
    <row r="6" spans="1:11" x14ac:dyDescent="0.3">
      <c r="A6">
        <v>5</v>
      </c>
      <c r="B6" t="s">
        <v>36</v>
      </c>
      <c r="C6" s="1">
        <v>0.66</v>
      </c>
      <c r="D6" s="1">
        <v>0.19</v>
      </c>
      <c r="E6" s="1">
        <v>0.15</v>
      </c>
    </row>
    <row r="7" spans="1:11" x14ac:dyDescent="0.3">
      <c r="A7">
        <v>6</v>
      </c>
      <c r="B7" t="s">
        <v>39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17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11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50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22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8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45</v>
      </c>
      <c r="C13" s="1">
        <v>0.72</v>
      </c>
      <c r="D13" s="1">
        <v>0.15</v>
      </c>
      <c r="E13" s="1">
        <v>0.13</v>
      </c>
    </row>
    <row r="14" spans="1:11" x14ac:dyDescent="0.3">
      <c r="A14">
        <v>13</v>
      </c>
      <c r="B14" t="s">
        <v>29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1</v>
      </c>
      <c r="C15" s="1">
        <v>0.61</v>
      </c>
      <c r="D15" s="1">
        <v>0.25</v>
      </c>
      <c r="E15" s="1">
        <v>0.14000000000000001</v>
      </c>
    </row>
    <row r="16" spans="1:11" x14ac:dyDescent="0.3">
      <c r="A16">
        <v>15</v>
      </c>
      <c r="B16" t="s">
        <v>6</v>
      </c>
      <c r="C16" s="1">
        <v>0.64</v>
      </c>
      <c r="D16" s="1">
        <v>0.23</v>
      </c>
      <c r="E16" s="1">
        <v>0.13</v>
      </c>
    </row>
    <row r="17" spans="1:5" x14ac:dyDescent="0.3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25</v>
      </c>
      <c r="C18" s="1">
        <v>0.7</v>
      </c>
      <c r="D18" s="1">
        <v>0.18</v>
      </c>
      <c r="E18" s="1">
        <v>0.12</v>
      </c>
    </row>
    <row r="19" spans="1:5" x14ac:dyDescent="0.3">
      <c r="A19">
        <v>18</v>
      </c>
      <c r="B19" t="s">
        <v>5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32</v>
      </c>
      <c r="C20" s="1">
        <v>0.66</v>
      </c>
      <c r="D20" s="1">
        <v>0.19</v>
      </c>
      <c r="E20" s="1">
        <v>0.15</v>
      </c>
    </row>
    <row r="21" spans="1:5" x14ac:dyDescent="0.3">
      <c r="A21">
        <v>20</v>
      </c>
      <c r="B21" t="s">
        <v>46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20</v>
      </c>
      <c r="C22" s="1">
        <v>0.6</v>
      </c>
      <c r="D22" s="1">
        <v>0.25</v>
      </c>
      <c r="E22" s="1">
        <v>0.15</v>
      </c>
    </row>
    <row r="23" spans="1:5" x14ac:dyDescent="0.3">
      <c r="A23">
        <v>22</v>
      </c>
      <c r="B23" t="s">
        <v>41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23</v>
      </c>
      <c r="C24" s="1">
        <v>0.69</v>
      </c>
      <c r="D24" s="1">
        <v>0.19</v>
      </c>
      <c r="E24" s="1">
        <v>0.12</v>
      </c>
    </row>
    <row r="25" spans="1:5" x14ac:dyDescent="0.3">
      <c r="A25">
        <v>24</v>
      </c>
      <c r="B25" t="s">
        <v>24</v>
      </c>
      <c r="C25" s="1">
        <v>0.66</v>
      </c>
      <c r="D25" s="1">
        <v>0.2</v>
      </c>
      <c r="E25" s="1">
        <v>0.14000000000000001</v>
      </c>
    </row>
    <row r="26" spans="1:5" x14ac:dyDescent="0.3">
      <c r="A26">
        <v>25</v>
      </c>
      <c r="B26" t="s">
        <v>27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21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18</v>
      </c>
      <c r="C30" s="1">
        <v>0.68</v>
      </c>
      <c r="D30" s="1">
        <v>0.2</v>
      </c>
      <c r="E30" s="1">
        <v>0.12</v>
      </c>
    </row>
    <row r="31" spans="1:5" x14ac:dyDescent="0.3">
      <c r="A31">
        <v>30</v>
      </c>
      <c r="B31" t="s">
        <v>30</v>
      </c>
      <c r="C31" s="1">
        <v>0.64</v>
      </c>
      <c r="D31" s="1">
        <v>0.22</v>
      </c>
      <c r="E31" s="1">
        <v>0.14000000000000001</v>
      </c>
    </row>
    <row r="32" spans="1:5" x14ac:dyDescent="0.3">
      <c r="A32">
        <v>31</v>
      </c>
      <c r="B32" t="s">
        <v>16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42</v>
      </c>
      <c r="C33" s="1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38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34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12</v>
      </c>
      <c r="C37" s="1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10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33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15</v>
      </c>
      <c r="C40" s="1">
        <v>0.61</v>
      </c>
      <c r="D40" s="1">
        <v>0.23</v>
      </c>
      <c r="E40" s="1">
        <v>0.16</v>
      </c>
    </row>
    <row r="41" spans="1:5" x14ac:dyDescent="0.3">
      <c r="A41">
        <v>40</v>
      </c>
      <c r="B41" t="s">
        <v>14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0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43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7</v>
      </c>
      <c r="C46" s="1">
        <v>0.67</v>
      </c>
      <c r="D46" s="1">
        <v>0.21</v>
      </c>
      <c r="E46" s="1">
        <v>0.12</v>
      </c>
    </row>
    <row r="47" spans="1:5" x14ac:dyDescent="0.3">
      <c r="A47">
        <v>46</v>
      </c>
      <c r="B47" t="s">
        <v>47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19</v>
      </c>
      <c r="C48" s="1">
        <v>0.65</v>
      </c>
      <c r="D48" s="1">
        <v>0.22</v>
      </c>
      <c r="E48" s="1">
        <v>0.13</v>
      </c>
    </row>
    <row r="49" spans="1:5" x14ac:dyDescent="0.3">
      <c r="A49">
        <v>48</v>
      </c>
      <c r="B49" t="s">
        <v>40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13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31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44</v>
      </c>
      <c r="C52" s="1">
        <v>0.71</v>
      </c>
      <c r="D52" s="1">
        <v>0.16</v>
      </c>
      <c r="E52" s="1">
        <v>0.13</v>
      </c>
    </row>
  </sheetData>
  <autoFilter ref="B1:E52" xr:uid="{E1AA628A-7019-4BA4-A9A9-CE381428A57C}">
    <sortState xmlns:xlrd2="http://schemas.microsoft.com/office/spreadsheetml/2017/richdata2" ref="B2:E52">
      <sortCondition ref="B1:B52"/>
    </sortState>
  </autoFilter>
  <phoneticPr fontId="18" type="noConversion"/>
  <conditionalFormatting sqref="G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AAFA-9B67-41EC-9326-00F38C0076E3}">
  <dimension ref="A1:D26"/>
  <sheetViews>
    <sheetView tabSelected="1" topLeftCell="E1" workbookViewId="0">
      <selection activeCell="I5" sqref="I5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</cols>
  <sheetData>
    <row r="1" spans="1:4" x14ac:dyDescent="0.3">
      <c r="A1" t="s">
        <v>61</v>
      </c>
      <c r="B1" t="s">
        <v>62</v>
      </c>
      <c r="C1" t="s">
        <v>65</v>
      </c>
      <c r="D1" t="s">
        <v>66</v>
      </c>
    </row>
    <row r="2" spans="1:4" x14ac:dyDescent="0.3">
      <c r="A2" t="s">
        <v>40</v>
      </c>
      <c r="B2" t="s">
        <v>63</v>
      </c>
      <c r="C2" s="4">
        <f>VLOOKUP('sales region lookup'!A2,'[1]by search term'!B:C,2,FALSE)</f>
        <v>0.68</v>
      </c>
      <c r="D2" s="4">
        <f>_xlfn.XLOOKUP(A2,'[1]by search term'!B1:B52, 'by search term'!D1:D52,"not found")</f>
        <v>0.18</v>
      </c>
    </row>
    <row r="3" spans="1:4" x14ac:dyDescent="0.3">
      <c r="A3" t="s">
        <v>58</v>
      </c>
      <c r="B3" t="s">
        <v>63</v>
      </c>
      <c r="C3" s="4">
        <f>VLOOKUP('sales region lookup'!A3,'[1]by search term'!B:C,2,FALSE)</f>
        <v>0.68</v>
      </c>
      <c r="D3" s="4">
        <f>_xlfn.XLOOKUP(A3,'[1]by search term'!B2:B53, 'by search term'!D2:D53,"not found")</f>
        <v>0.18</v>
      </c>
    </row>
    <row r="4" spans="1:4" x14ac:dyDescent="0.3">
      <c r="A4" t="s">
        <v>29</v>
      </c>
      <c r="B4" t="s">
        <v>63</v>
      </c>
      <c r="C4" s="4">
        <f>VLOOKUP('sales region lookup'!A4,'[1]by search term'!B:C,2,FALSE)</f>
        <v>0.67</v>
      </c>
      <c r="D4" s="4">
        <f>_xlfn.XLOOKUP(A4,'[1]by search term'!B3:B54, 'by search term'!D3:D54,"not found")</f>
        <v>0.19</v>
      </c>
    </row>
    <row r="5" spans="1:4" x14ac:dyDescent="0.3">
      <c r="A5" t="s">
        <v>48</v>
      </c>
      <c r="B5" t="s">
        <v>63</v>
      </c>
      <c r="C5" s="4">
        <f>VLOOKUP('sales region lookup'!A5,'[1]by search term'!B:C,2,FALSE)</f>
        <v>0.75</v>
      </c>
      <c r="D5" s="4">
        <f>_xlfn.XLOOKUP(A5,'[1]by search term'!B4:B55, 'by search term'!D4:D55,"not found")</f>
        <v>0.14000000000000001</v>
      </c>
    </row>
    <row r="6" spans="1:4" x14ac:dyDescent="0.3">
      <c r="A6" t="s">
        <v>59</v>
      </c>
      <c r="B6" t="s">
        <v>64</v>
      </c>
      <c r="C6" s="4">
        <v>0.69</v>
      </c>
      <c r="D6" s="4">
        <v>0.19</v>
      </c>
    </row>
    <row r="7" spans="1:4" x14ac:dyDescent="0.3">
      <c r="A7" t="s">
        <v>60</v>
      </c>
      <c r="B7" t="s">
        <v>64</v>
      </c>
      <c r="C7" s="4">
        <v>0.75</v>
      </c>
      <c r="D7" s="4">
        <v>0.14000000000000001</v>
      </c>
    </row>
    <row r="8" spans="1:4" x14ac:dyDescent="0.3">
      <c r="A8" t="s">
        <v>35</v>
      </c>
      <c r="B8" t="s">
        <v>64</v>
      </c>
      <c r="C8" s="4">
        <f>VLOOKUP('sales region lookup'!A8,'[1]by search term'!B:C,2,FALSE)</f>
        <v>0.69</v>
      </c>
      <c r="D8" s="4">
        <f>_xlfn.XLOOKUP(A8,'[1]by search term'!B7:B58, 'by search term'!D7:D58,"not found")</f>
        <v>0.18</v>
      </c>
    </row>
    <row r="9" spans="1:4" x14ac:dyDescent="0.3">
      <c r="A9" t="s">
        <v>24</v>
      </c>
      <c r="B9" t="s">
        <v>64</v>
      </c>
      <c r="C9" s="4">
        <f>VLOOKUP('sales region lookup'!A9,'[1]by search term'!B:C,2,FALSE)</f>
        <v>0.66</v>
      </c>
      <c r="D9" s="4">
        <f>_xlfn.XLOOKUP(A9,'[1]by search term'!B8:B59, 'by search term'!D8:D59,"not found")</f>
        <v>0.2</v>
      </c>
    </row>
    <row r="10" spans="1:4" x14ac:dyDescent="0.3">
      <c r="A10" t="s">
        <v>31</v>
      </c>
      <c r="B10" t="s">
        <v>64</v>
      </c>
      <c r="C10" s="4">
        <f>VLOOKUP('sales region lookup'!A10,'[1]by search term'!B:C,2,FALSE)</f>
        <v>0.66</v>
      </c>
      <c r="D10" s="4">
        <f>_xlfn.XLOOKUP(A10,'[1]by search term'!B9:B60, 'by search term'!D9:D60,"not found")</f>
        <v>0.2</v>
      </c>
    </row>
    <row r="11" spans="1:4" x14ac:dyDescent="0.3">
      <c r="A11" t="s">
        <v>23</v>
      </c>
      <c r="B11" t="s">
        <v>64</v>
      </c>
      <c r="C11" s="4">
        <f>VLOOKUP('sales region lookup'!A11,'[1]by search term'!B:C,2,FALSE)</f>
        <v>0.69</v>
      </c>
      <c r="D11" s="4">
        <f>_xlfn.XLOOKUP(A11,'[1]by search term'!B10:B61, 'by search term'!D10:D61,"not found")</f>
        <v>0.19</v>
      </c>
    </row>
    <row r="13" spans="1:4" x14ac:dyDescent="0.3">
      <c r="A13" s="5" t="s">
        <v>62</v>
      </c>
      <c r="B13" t="s">
        <v>71</v>
      </c>
    </row>
    <row r="15" spans="1:4" x14ac:dyDescent="0.3">
      <c r="A15" s="5" t="s">
        <v>67</v>
      </c>
      <c r="B15" t="s">
        <v>69</v>
      </c>
      <c r="C15" t="s">
        <v>70</v>
      </c>
    </row>
    <row r="16" spans="1:4" x14ac:dyDescent="0.3">
      <c r="A16" s="6" t="s">
        <v>29</v>
      </c>
      <c r="B16" s="1">
        <v>0.67</v>
      </c>
      <c r="C16" s="1">
        <v>0.19</v>
      </c>
    </row>
    <row r="17" spans="1:3" x14ac:dyDescent="0.3">
      <c r="A17" s="6" t="s">
        <v>23</v>
      </c>
      <c r="B17" s="1">
        <v>0.69</v>
      </c>
      <c r="C17" s="1">
        <v>0.19</v>
      </c>
    </row>
    <row r="18" spans="1:3" x14ac:dyDescent="0.3">
      <c r="A18" s="6" t="s">
        <v>24</v>
      </c>
      <c r="B18" s="1">
        <v>0.66</v>
      </c>
      <c r="C18" s="1">
        <v>0.2</v>
      </c>
    </row>
    <row r="19" spans="1:3" x14ac:dyDescent="0.3">
      <c r="A19" s="6" t="s">
        <v>48</v>
      </c>
      <c r="B19" s="1">
        <v>0.75</v>
      </c>
      <c r="C19" s="1">
        <v>0.14000000000000001</v>
      </c>
    </row>
    <row r="20" spans="1:3" x14ac:dyDescent="0.3">
      <c r="A20" s="6" t="s">
        <v>35</v>
      </c>
      <c r="B20" s="1">
        <v>0.69</v>
      </c>
      <c r="C20" s="1">
        <v>0.18</v>
      </c>
    </row>
    <row r="21" spans="1:3" x14ac:dyDescent="0.3">
      <c r="A21" s="6" t="s">
        <v>59</v>
      </c>
      <c r="B21" s="1">
        <v>0.69</v>
      </c>
      <c r="C21" s="1">
        <v>0.19</v>
      </c>
    </row>
    <row r="22" spans="1:3" x14ac:dyDescent="0.3">
      <c r="A22" s="6" t="s">
        <v>58</v>
      </c>
      <c r="B22" s="1">
        <v>0.68</v>
      </c>
      <c r="C22" s="1">
        <v>0.18</v>
      </c>
    </row>
    <row r="23" spans="1:3" x14ac:dyDescent="0.3">
      <c r="A23" s="6" t="s">
        <v>60</v>
      </c>
      <c r="B23" s="1">
        <v>0.75</v>
      </c>
      <c r="C23" s="1">
        <v>0.14000000000000001</v>
      </c>
    </row>
    <row r="24" spans="1:3" x14ac:dyDescent="0.3">
      <c r="A24" s="6" t="s">
        <v>40</v>
      </c>
      <c r="B24" s="1">
        <v>0.68</v>
      </c>
      <c r="C24" s="1">
        <v>0.18</v>
      </c>
    </row>
    <row r="25" spans="1:3" x14ac:dyDescent="0.3">
      <c r="A25" s="6" t="s">
        <v>31</v>
      </c>
      <c r="B25" s="1">
        <v>0.66</v>
      </c>
      <c r="C25" s="1">
        <v>0.2</v>
      </c>
    </row>
    <row r="26" spans="1:3" x14ac:dyDescent="0.3">
      <c r="A26" s="6" t="s">
        <v>68</v>
      </c>
      <c r="B26" s="1">
        <v>6.92</v>
      </c>
      <c r="C26" s="1">
        <v>1.79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58FC-F829-4E4C-AB7E-A2F76C5F67D5}">
  <dimension ref="A1:AZ4"/>
  <sheetViews>
    <sheetView workbookViewId="0">
      <selection activeCell="B2" sqref="B2"/>
    </sheetView>
  </sheetViews>
  <sheetFormatPr defaultRowHeight="14.4" x14ac:dyDescent="0.3"/>
  <sheetData>
    <row r="1" spans="1:52" x14ac:dyDescent="0.3">
      <c r="A1" t="s">
        <v>52</v>
      </c>
      <c r="B1" t="s">
        <v>4</v>
      </c>
      <c r="C1" t="s">
        <v>49</v>
      </c>
      <c r="D1" t="s">
        <v>26</v>
      </c>
      <c r="E1" t="s">
        <v>9</v>
      </c>
      <c r="F1" t="s">
        <v>36</v>
      </c>
      <c r="G1" t="s">
        <v>39</v>
      </c>
      <c r="H1" t="s">
        <v>17</v>
      </c>
      <c r="I1" t="s">
        <v>11</v>
      </c>
      <c r="J1" t="s">
        <v>50</v>
      </c>
      <c r="K1" t="s">
        <v>22</v>
      </c>
      <c r="L1" t="s">
        <v>8</v>
      </c>
      <c r="M1" t="s">
        <v>45</v>
      </c>
      <c r="N1" t="s">
        <v>29</v>
      </c>
      <c r="O1" t="s">
        <v>1</v>
      </c>
      <c r="P1" t="s">
        <v>6</v>
      </c>
      <c r="Q1" t="s">
        <v>37</v>
      </c>
      <c r="R1" t="s">
        <v>25</v>
      </c>
      <c r="S1" t="s">
        <v>5</v>
      </c>
      <c r="T1" t="s">
        <v>32</v>
      </c>
      <c r="U1" t="s">
        <v>46</v>
      </c>
      <c r="V1" t="s">
        <v>20</v>
      </c>
      <c r="W1" t="s">
        <v>41</v>
      </c>
      <c r="X1" t="s">
        <v>23</v>
      </c>
      <c r="Y1" t="s">
        <v>24</v>
      </c>
      <c r="Z1" t="s">
        <v>27</v>
      </c>
      <c r="AA1" t="s">
        <v>21</v>
      </c>
      <c r="AB1" t="s">
        <v>48</v>
      </c>
      <c r="AC1" t="s">
        <v>35</v>
      </c>
      <c r="AD1" t="s">
        <v>18</v>
      </c>
      <c r="AE1" t="s">
        <v>30</v>
      </c>
      <c r="AF1" t="s">
        <v>16</v>
      </c>
      <c r="AG1" t="s">
        <v>42</v>
      </c>
      <c r="AH1" t="s">
        <v>38</v>
      </c>
      <c r="AI1" t="s">
        <v>2</v>
      </c>
      <c r="AJ1" t="s">
        <v>34</v>
      </c>
      <c r="AK1" t="s">
        <v>12</v>
      </c>
      <c r="AL1" t="s">
        <v>10</v>
      </c>
      <c r="AM1" t="s">
        <v>33</v>
      </c>
      <c r="AN1" t="s">
        <v>15</v>
      </c>
      <c r="AO1" t="s">
        <v>14</v>
      </c>
      <c r="AP1" t="s">
        <v>0</v>
      </c>
      <c r="AQ1" t="s">
        <v>43</v>
      </c>
      <c r="AR1" t="s">
        <v>3</v>
      </c>
      <c r="AS1" t="s">
        <v>28</v>
      </c>
      <c r="AT1" t="s">
        <v>7</v>
      </c>
      <c r="AU1" t="s">
        <v>47</v>
      </c>
      <c r="AV1" t="s">
        <v>19</v>
      </c>
      <c r="AW1" t="s">
        <v>40</v>
      </c>
      <c r="AX1" t="s">
        <v>13</v>
      </c>
      <c r="AY1" t="s">
        <v>31</v>
      </c>
      <c r="AZ1" t="s">
        <v>44</v>
      </c>
    </row>
    <row r="2" spans="1:52" x14ac:dyDescent="0.3">
      <c r="A2" t="s">
        <v>55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3">
      <c r="A3" t="s">
        <v>56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3">
      <c r="A4" t="s">
        <v>57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sales region lookup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Betelehem Gebremedhin</dc:creator>
  <cp:lastModifiedBy>betelehem teklemariam</cp:lastModifiedBy>
  <dcterms:created xsi:type="dcterms:W3CDTF">2026-04-08T19:27:42Z</dcterms:created>
  <dcterms:modified xsi:type="dcterms:W3CDTF">2026-04-10T22:01:01Z</dcterms:modified>
</cp:coreProperties>
</file>